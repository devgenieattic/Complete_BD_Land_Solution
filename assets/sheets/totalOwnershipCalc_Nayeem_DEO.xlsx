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filterPrivacy="1" defaultThemeVersion="124226"/>
  <xr:revisionPtr revIDLastSave="0" documentId="13_ncr:1_{3E45B4CA-0A6D-45C7-9077-5A5B007A10DA}" xr6:coauthVersionLast="47" xr6:coauthVersionMax="47" xr10:uidLastSave="{00000000-0000-0000-0000-000000000000}"/>
  <bookViews>
    <workbookView xWindow="1776" yWindow="108" windowWidth="17280" windowHeight="8124" xr2:uid="{00000000-000D-0000-FFFF-FFFF00000000}"/>
  </bookViews>
  <sheets>
    <sheet name="Sheet1" sheetId="1" r:id="rId1"/>
    <sheet name="entr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2" i="1" l="1"/>
  <c r="H2" i="1" s="1"/>
  <c r="G3" i="1"/>
  <c r="H3" i="1" s="1"/>
  <c r="G4" i="1"/>
  <c r="H4" i="1" s="1"/>
  <c r="G5" i="1"/>
  <c r="H5" i="1" s="1"/>
  <c r="G6" i="1"/>
  <c r="H6" i="1" s="1"/>
  <c r="G7" i="1"/>
  <c r="H7" i="1" s="1"/>
  <c r="G8" i="1"/>
  <c r="H8" i="1" s="1"/>
  <c r="G9" i="1"/>
  <c r="H9" i="1" s="1"/>
  <c r="G10" i="1"/>
  <c r="H10" i="1" s="1"/>
  <c r="G11" i="1"/>
  <c r="H11" i="1" s="1"/>
  <c r="G12" i="1"/>
  <c r="H12" i="1" s="1"/>
  <c r="G13" i="1"/>
  <c r="H13" i="1" s="1"/>
  <c r="G14" i="1"/>
  <c r="H14" i="1" s="1"/>
  <c r="G15" i="1"/>
  <c r="H15" i="1" s="1"/>
  <c r="G16" i="1"/>
  <c r="H16" i="1" s="1"/>
  <c r="G17" i="1"/>
  <c r="H17" i="1" s="1"/>
  <c r="G18" i="1"/>
  <c r="H18" i="1" s="1"/>
  <c r="G19" i="1"/>
  <c r="H19" i="1" s="1"/>
  <c r="G20" i="1"/>
  <c r="H20" i="1" s="1"/>
  <c r="H21" i="1" l="1"/>
</calcChain>
</file>

<file path=xl/sharedStrings.xml><?xml version="1.0" encoding="utf-8"?>
<sst xmlns="http://schemas.openxmlformats.org/spreadsheetml/2006/main" count="226" uniqueCount="219">
  <si>
    <t>মালিকের নাম</t>
  </si>
  <si>
    <t>আনা</t>
  </si>
  <si>
    <t>গন্ডা</t>
  </si>
  <si>
    <t>কড়া</t>
  </si>
  <si>
    <t>ক্রান্তি</t>
  </si>
  <si>
    <t>তিল</t>
  </si>
  <si>
    <t>মোট তিল</t>
  </si>
  <si>
    <t>১ অংশের ভাগ</t>
  </si>
  <si>
    <t>সর্বমোট</t>
  </si>
  <si>
    <t>সর্বশেষ কর পরিশোধের সাল সংশোধন করা হলো।</t>
  </si>
  <si>
    <t>মালিকের জায়গার ঠিকানা সংশোধন করা হলো।</t>
  </si>
  <si>
    <t>দাড়িয়াকান্দি, সদাসদি, দাইয়াদি, দারীয়াদী</t>
  </si>
  <si>
    <t>Calculation of area of land in Bangladesh:</t>
  </si>
  <si>
    <t>----------------------</t>
  </si>
  <si>
    <t>১ আনা = ৪৮০০</t>
  </si>
  <si>
    <t>১ গন্ডা = ২৪০</t>
  </si>
  <si>
    <t>১ কড়া = ৬০</t>
  </si>
  <si>
    <t>১  ক্রান্তি = ২০</t>
  </si>
  <si>
    <t>--------------------</t>
  </si>
  <si>
    <t>অংশ - সব / ৭৬৮০০</t>
  </si>
  <si>
    <t>১ কাঠা = ৭২০ বর্গফুট বা ১.৬৫ শতক (৩৩ ইঞ্চির মাপে)।</t>
  </si>
  <si>
    <t>১ শতক = ৪৩৫.৬ বর্গফুট বা ১০০০ বর্গলিংক।</t>
  </si>
  <si>
    <t>১ বিঘা = ২০ কাঠা বা ৩৩,০০০ বর্গলিংক (এলাকাভেদে ভিন্ন হতে পারে)।</t>
  </si>
  <si>
    <t>১ একর = ১০০ শতক বা ৪৩,৫৬০ বর্গফুট।</t>
  </si>
  <si>
    <t>----------------------------------------</t>
  </si>
  <si>
    <t xml:space="preserve">Calculation of area of land in Bangladesh </t>
  </si>
  <si>
    <t xml:space="preserve"> </t>
  </si>
  <si>
    <t>Formula of Paki, Bigha and Decimal:</t>
  </si>
  <si>
    <t>1 Paki = 1 Bigha = 33 Decimal</t>
  </si>
  <si>
    <t>1 Decimal = 1 Shotangsho (Shotok) = 435.6 Sq Feet (approx)</t>
  </si>
  <si>
    <t xml:space="preserve">1 Kattah (or Cottah) = 1.65 Shotangsho (approx) </t>
  </si>
  <si>
    <t xml:space="preserve">1 Katha = 165 Ojutangsho (approx) </t>
  </si>
  <si>
    <t>1 Shotangsho = 100 Ojutangsho</t>
  </si>
  <si>
    <t>1 Katha = 720 Sq Feet (approx)</t>
  </si>
  <si>
    <t>20 Katha = 1 Bigha</t>
  </si>
  <si>
    <t>3 Bighas = 1 Acre approx. (1600 square yards)</t>
  </si>
  <si>
    <t>4 Kora = 1 Gonda</t>
  </si>
  <si>
    <t>20 G 1 Kani</t>
  </si>
  <si>
    <t>80 Kora = 1 Kani</t>
  </si>
  <si>
    <t>120 Decimal = 1 Kani</t>
  </si>
  <si>
    <t>Formula of Square Feet and Kani:</t>
  </si>
  <si>
    <t>17280 Square Feet = 1 Kani</t>
  </si>
  <si>
    <t>1619 Square Meter = 1 Kani</t>
  </si>
  <si>
    <t>40000 Square Links = 1 Kani</t>
  </si>
  <si>
    <t>7680 Square Hat = 1 Kani</t>
  </si>
  <si>
    <t>1936 Bargogoz = 1 Kani</t>
  </si>
  <si>
    <t>40 Acore = 1 Kani</t>
  </si>
  <si>
    <t>Formula of 8 Hat nol :</t>
  </si>
  <si>
    <t>12 Nol * 10 Nol = 120 Bargonol</t>
  </si>
  <si>
    <t>Kani and Gonda as square feet:</t>
  </si>
  <si>
    <t>17280 Square Feet = 1 Kani = 20 Gonda ( Measurement of 8 Hat nol )</t>
  </si>
  <si>
    <t>864 Square Feet = 1 G 4 Kora</t>
  </si>
  <si>
    <t>216 Square Feet = 1 Kora = 3 Kransti/Kontho</t>
  </si>
  <si>
    <t>72 Square Feet = 1 Kransti = 20 Til</t>
  </si>
  <si>
    <t>3.6 Square Feet = 1 Til</t>
  </si>
  <si>
    <t>Formula of Square Feet and Acore:</t>
  </si>
  <si>
    <t>1 Chain = 66 Feet</t>
  </si>
  <si>
    <t>10 Square Chain = (66*660) or 1 Acore = 43560 Square Feet</t>
  </si>
  <si>
    <t>1 Acore or 100 Shotok = 43200 Square Feet</t>
  </si>
  <si>
    <t>Formula of Square Link, Acore and Shotok:</t>
  </si>
  <si>
    <t>1 Chain = 100 Link, So 1 Square Chain = 100*1000 =100,000 Square Link = 1 Acore</t>
  </si>
  <si>
    <t>1 Acore Or 100 Shotok = 1,00,000 Square Link</t>
  </si>
  <si>
    <t>1 Shotok = 1,000 Square Link</t>
  </si>
  <si>
    <t>100 Link = 66 Feet</t>
  </si>
  <si>
    <t>Formula of Kani and Gonda as Square Link:</t>
  </si>
  <si>
    <t>1 Kani Or 20 G 40,000 Square Link</t>
  </si>
  <si>
    <t>1 Gonda Or 4 Kora = 2000 Square Link</t>
  </si>
  <si>
    <t>1 Kora Or 3 Kanti = 500 Square Link</t>
  </si>
  <si>
    <t>1 Kranti Or 20 Til = 160.66 Square Link</t>
  </si>
  <si>
    <t>1 Til = 8.33 Square Link</t>
  </si>
  <si>
    <t>Formula of 8 Hat Nol as Square Hat:</t>
  </si>
  <si>
    <t>1 Kani Or 20 Gaz/Yard = 7680 Bargo Hat</t>
  </si>
  <si>
    <t>1 Gonda Ot 4 Kora = 384 Bargo Hat</t>
  </si>
  <si>
    <t>1 Kora Or 3 Kanti = 96 Bargo Hat</t>
  </si>
  <si>
    <t>1 Kranti Or 20 Til = 32 Bargo Hat</t>
  </si>
  <si>
    <t>1 Til = 1.6 Bargo Hat</t>
  </si>
  <si>
    <t>Formula of Kani and Gondar fo 8 Hat Nol as Square Feet:</t>
  </si>
  <si>
    <t>1 Kani Or 20 G 17280 Square Feet</t>
  </si>
  <si>
    <t>1 Gonda Or 4 Kora = 864 Square Feet</t>
  </si>
  <si>
    <t>1 Kora Or 3 Kontho/Kranti = 216 Square Feet</t>
  </si>
  <si>
    <t>1 Kontho Or 6 D 72 Square Feet</t>
  </si>
  <si>
    <t>1 Dondho Or 7 Dhul = 12 Square Feet</t>
  </si>
  <si>
    <t>1 Dhul Or 30 Renu = 1.71 Square Feet</t>
  </si>
  <si>
    <t>1 Renu = 0.057 Square Feet</t>
  </si>
  <si>
    <t>Formula of Kani and Gondar as Bargo Gaz/Yard:</t>
  </si>
  <si>
    <t>1 Kani Or 20 G 1936 Bargo Gaz (Square Yard)</t>
  </si>
  <si>
    <t>1 Gonda Or 4 Kora = 96.8 Bargo Gaz (Square Yard)</t>
  </si>
  <si>
    <t>1 Kora Or 3 Kranti = 24.2 Bargo Gaz (Square Yard)</t>
  </si>
  <si>
    <t>1 Kranti Or 20 Til = 8.06 Bargo Gaz (Square Yard)</t>
  </si>
  <si>
    <t>1 Til = 0.40 Bargo Gaz (Square Yard)</t>
  </si>
  <si>
    <t>Formula of Kani and Gondar as Square Meter:</t>
  </si>
  <si>
    <t>(40.47 * Meter * 39.67 = 1605 Square Meter)</t>
  </si>
  <si>
    <t>1 Kani Or 20 G 1605 Square Meter</t>
  </si>
  <si>
    <t>1 Gonda Or 4 Kora = 80.25 Square Meter</t>
  </si>
  <si>
    <t>1 Kora Or 3 Kranti = 20.06 Square Meter</t>
  </si>
  <si>
    <t>1 Kranti Or 20 Til = 6.68 Square Meter</t>
  </si>
  <si>
    <t>1 Til = .334 Square Meter</t>
  </si>
  <si>
    <t>Formula of Acore and Shotok:</t>
  </si>
  <si>
    <t>Length 10 Chain * Width 1 Chain = 10 Square Chain = 1 Acore</t>
  </si>
  <si>
    <t>1 Chain = 66 Feet = 44 Hat = 22 Gaz/Yard = 20.12 Meter = 792 Inchi = 100 Link</t>
  </si>
  <si>
    <t>1 Acore = 10 Square Chain</t>
  </si>
  <si>
    <t>1 Acore = 100 Shotok</t>
  </si>
  <si>
    <t>1 Acore = 43560 Square Feet</t>
  </si>
  <si>
    <t>1 Acore = 19360 Square Hat</t>
  </si>
  <si>
    <t>1 Acore = 4840 Borgo Gaz (Square Yard)</t>
  </si>
  <si>
    <t>1 Acore = 4047 Square Meter</t>
  </si>
  <si>
    <t>1 Acore = 1,00,000 Square Link</t>
  </si>
  <si>
    <t>1 Acore = 3 Bigha 8 Chotak</t>
  </si>
  <si>
    <t>1 Acore = 60.5 Kattah</t>
  </si>
  <si>
    <t>1 Acore = 2 Kani 10 Gonda (Accoding to 40 Shotok Kani)</t>
  </si>
  <si>
    <t>1 Acore = 432.6 Square Feet</t>
  </si>
  <si>
    <t>1 Acore = 1 Gonda</t>
  </si>
  <si>
    <t>Formula of Acore and Shotok as Square Link:</t>
  </si>
  <si>
    <t>1 Chain = 100 Link</t>
  </si>
  <si>
    <t>1 Square Chain = 100 * 1000 = 1,00,000 Square Link = 1 Acore</t>
  </si>
  <si>
    <t>Formula of Acore and Shotok as Square Feet:</t>
  </si>
  <si>
    <t>10 Square Chain = 66 * 66</t>
  </si>
  <si>
    <t>Or 1 Acore Or 100 Shotok = 43569 Square Feet</t>
  </si>
  <si>
    <t>1 Shotok = 435.6 Square Feet</t>
  </si>
  <si>
    <t>Formula of Kani and Gonda as Acore and Shotok:</t>
  </si>
  <si>
    <t>1 Kani Or 40 Shotok = 435.6 * 40 = 17424 Square Feet</t>
  </si>
  <si>
    <t>1 Kani Or 20 G 17424 Square Feet</t>
  </si>
  <si>
    <t>1 Gonda Or 4 Kora = 871.2 Square Feet</t>
  </si>
  <si>
    <t>1 Kora Or 3 Kranti = 217.8 Square Feet</t>
  </si>
  <si>
    <t>1 Kranti Or 20 Til = 72.6 Square Feet</t>
  </si>
  <si>
    <t>1 Til = 3.63 Square Feet</t>
  </si>
  <si>
    <t>Formula of Acore and Shotok as Borgo Hat:</t>
  </si>
  <si>
    <t>1 Chain = 88 Hat</t>
  </si>
  <si>
    <t>10 Square chain = 44 * 440 = 19360 Borgo Hat (1 Acre)</t>
  </si>
  <si>
    <t>1 Acre Or 100 Shotok = 19360 Borgo Hat</t>
  </si>
  <si>
    <t>1 Shotok = 193.6 Borgo Hat</t>
  </si>
  <si>
    <t>40 Shotok Or Kani = 193.6 * 40 = 7744 Square Hat</t>
  </si>
  <si>
    <t>Formula of Acore and Shotok as Borgo Gaz/Yard:</t>
  </si>
  <si>
    <t>1 Chain = 22 Gaz/Yard</t>
  </si>
  <si>
    <t>10 Square Chain Or 1 Acre = 220 * 22 = 4840 Borgo Gaz (Square Yard)</t>
  </si>
  <si>
    <t>1 Acre Or 100 Shotok = 4840 Square Gaz</t>
  </si>
  <si>
    <t>1 Shotok = 48.40 Barogo Gaz</t>
  </si>
  <si>
    <t>1 Kani Or 40 Borgo Gaz/ Square Yard = 48.40 * 40 = 1936 Bargo Gaz (Square Yard)</t>
  </si>
  <si>
    <t>Formula of Acore and Shotok as Square Meter:</t>
  </si>
  <si>
    <t>1 Chain = 2012 Meter</t>
  </si>
  <si>
    <t>10 Square Chain Or 1 Acre = 201.2 * 20.12 = 4047 Square Meter</t>
  </si>
  <si>
    <t>1 Acre Or 100 Shotok = 4047 Square Meter</t>
  </si>
  <si>
    <t>1 Shotok = 40.47 Square Meter</t>
  </si>
  <si>
    <t>Formula of Bigha and Kattah:</t>
  </si>
  <si>
    <t>1 Bigha = 80 Hat</t>
  </si>
  <si>
    <t>1 Bigha = 80 * 80 6400 Square Hat</t>
  </si>
  <si>
    <t>1 Bigha = 20 Kattah</t>
  </si>
  <si>
    <t>1 Bigha = 33 Shotok</t>
  </si>
  <si>
    <t>1 Bigha = 33000 Square Link</t>
  </si>
  <si>
    <t>1 Bigha = 6400 Square Hat</t>
  </si>
  <si>
    <t>1 Bigha = 1600 Borgo Gaz (Square Yard)</t>
  </si>
  <si>
    <t>1 Bigha = 14400 Square Feet</t>
  </si>
  <si>
    <t>1 Bigha = 1338 Square Meter</t>
  </si>
  <si>
    <t>1 Bigha = 16 Gonda 2 Kora 2 Kranti</t>
  </si>
  <si>
    <t>Formula of Bargohat and Bigha:</t>
  </si>
  <si>
    <t>1 Bigha or 20 Kattah = 6400 Bargohat (Square Hat)</t>
  </si>
  <si>
    <t>1 Kattah or 16 Chotak = 320 Bargohat (Square Hat)</t>
  </si>
  <si>
    <t>1 Chotak = 320 Bargohat (Square Hat)</t>
  </si>
  <si>
    <t>4 Kak = 1 Kora</t>
  </si>
  <si>
    <t>16 Chotak = 1 Kattah</t>
  </si>
  <si>
    <t>20 Kattah = 1 Bigha</t>
  </si>
  <si>
    <t>20 G 1 Chotak</t>
  </si>
  <si>
    <t>6 Bigha = 1 Gonda</t>
  </si>
  <si>
    <t>Formula of Bigha, Kattah and Hat:</t>
  </si>
  <si>
    <t>1 Bigha or 20 Kattah = 80 Hat</t>
  </si>
  <si>
    <t>1 Kattah or 16 Chotak = 4 Hat</t>
  </si>
  <si>
    <t>1 Chotak or 20 G .25 Hat</t>
  </si>
  <si>
    <t>1 Gonda or 4 Kora = .0125 Hat</t>
  </si>
  <si>
    <t>1 Kora or 4 Kak = .0031 Hat</t>
  </si>
  <si>
    <t>1 Kak = .0007 Hat</t>
  </si>
  <si>
    <t>Formula of Bargolink/Square link, Bigha:</t>
  </si>
  <si>
    <t>1 Bigha or 20 Kattah = 33000 Bargolink/Square link</t>
  </si>
  <si>
    <t>1 Kattah or 16 Chotak = 1650 Bargolink/Square link</t>
  </si>
  <si>
    <t>1 Chotak = 103.125 Bargolink/Square link</t>
  </si>
  <si>
    <t>Formula of Bargofut/Square Feet and Bigha:</t>
  </si>
  <si>
    <t>1 Bigha or 20 Kattah = 14,400 Bargofut/Square feet</t>
  </si>
  <si>
    <t>1 Kattah or 16 Chotak = 720 Bargofut/Square feet</t>
  </si>
  <si>
    <t>1 Chotak = 45 Bargofut/Square feet</t>
  </si>
  <si>
    <t>Formula of Bargogaz/Square Yard and Bigha:</t>
  </si>
  <si>
    <t>1 Bigha or 20 Kattah = 1600 Bargogaz/Square yard</t>
  </si>
  <si>
    <t>1 Kattah or 16 Chotak = 80 Bargogaz/Square yard</t>
  </si>
  <si>
    <t>1 Chotak = 5 Bargogaz/Square yard</t>
  </si>
  <si>
    <t>Formula of Bargometer/Square meter and Bigha:</t>
  </si>
  <si>
    <t>1 Bigha or 20 Kattah = 1338 Bargometer/Square meter</t>
  </si>
  <si>
    <t>1 Kattah or 16 Chotak = 66.9 Bargometer/Square meter</t>
  </si>
  <si>
    <t>1 Chotak = 4.18 Bargometer/Square meter</t>
  </si>
  <si>
    <t>Formula of Ayer/ayor and Hector:</t>
  </si>
  <si>
    <t>1 Hector = 10,000 Bargometer/Square meter</t>
  </si>
  <si>
    <t>1 Hector = 11960 Bargogaz/Square yard</t>
  </si>
  <si>
    <t>1 Hector = 2.47 Acre</t>
  </si>
  <si>
    <t>1 Hector = 100 Ayer</t>
  </si>
  <si>
    <t>1 Ayer = 28.9 Bigha (Approx)</t>
  </si>
  <si>
    <t>Formula of Bargometer/square meter, Ayer and Hector:</t>
  </si>
  <si>
    <t>1 Hector or 100 Ayer = 10,000 Bargometer/Square meter</t>
  </si>
  <si>
    <t>1 Ayer = 100 Bargometer/Square meter</t>
  </si>
  <si>
    <t>Formula of Shotok, Ayer and Hector:</t>
  </si>
  <si>
    <t>147.105 Shotok = 1 Hector or 100 Ayer</t>
  </si>
  <si>
    <t>247.105 Shotok = 1 Ayer</t>
  </si>
  <si>
    <t>Formula of Bargohat, Ayer and Hector:</t>
  </si>
  <si>
    <t>4789.528 Bargohat/Square Hat = 1 Hector</t>
  </si>
  <si>
    <t>478.39528 Borgohat = 1 Ayer</t>
  </si>
  <si>
    <t>Formula of Bargofut, Ayer and Hector:</t>
  </si>
  <si>
    <t>107639 Bargofut/Square feet = 1 Hector or 100 Ayer</t>
  </si>
  <si>
    <t>1076.39 Bargofut/Square feet = 1 Ayer</t>
  </si>
  <si>
    <t>Formula of Square Yard/ Bargogaz, Ayer and Hector:</t>
  </si>
  <si>
    <t>11959.882 Gaz/Yard = 1 Hector or 100 Ayer</t>
  </si>
  <si>
    <t>119.59882 Gaz/Yard = 1 Ayer</t>
  </si>
  <si>
    <t>Formula of Bigha, Kattah, Ayer and Hector:</t>
  </si>
  <si>
    <t>7.47494 Bigha = 1 Hector or 100 Ayer</t>
  </si>
  <si>
    <t>0.0747494 Bigha = 1 Ayer</t>
  </si>
  <si>
    <t>More measurement units:</t>
  </si>
  <si>
    <t>1 Kattah = 1.65 Shotangsho (approx)</t>
  </si>
  <si>
    <t>1 Kattah = 165 Ojutangsho (approx)</t>
  </si>
  <si>
    <t>1 Bigha = 33 Shotangsho</t>
  </si>
  <si>
    <t>Keywords: Unit, Sutro, Shutra, Shutro, Shutra, Shutraboli, Vhumi, Jami, Parimap, Law, Dalil, Dolil, Ayor, Borgofut, Borgogaz Borgogaj, bd</t>
  </si>
  <si>
    <t>নগর ডৌকাদি</t>
  </si>
  <si>
    <t>জমির নাম সংযোজন এবং সংশোধন করা হলো।</t>
  </si>
  <si>
    <t>জমির পরিমান সংযোজন এবং সংশোধন করা হলো।</t>
  </si>
  <si>
    <t>মালিকের অংশ সংযোজন এবং সংশোধন করা হলো।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</si>
</sst>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5000445]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b/>
      <sz val="10"/>
      <color rgb="FF444746"/>
      <name val="Google Sans Text"/>
      <family val="2"/>
    </font>
    <font>
      <b/>
      <sz val="14"/>
      <color theme="0"/>
      <name val="Aptos Narrow"/>
      <family val="2"/>
    </font>
    <font>
      <b/>
      <sz val="12"/>
      <color rgb="FF0F0F0F"/>
      <name val="Arial"/>
      <family val="2"/>
    </font>
    <font>
      <sz val="12"/>
      <color rgb="FF1F1F1F"/>
      <name val="SutonnyMJ"/>
    </font>
    <font>
      <sz val="12"/>
      <color rgb="FF444746"/>
      <name val="SutonnyMJ"/>
    </font>
    <font>
      <b/>
      <sz val="12"/>
      <color rgb="FF444746"/>
      <name val="SutonnyMJ"/>
    </font>
    <font>
      <sz val="12"/>
      <color theme="1"/>
      <name val="SutonnyMJ"/>
    </font>
    <font>
      <b/>
      <sz val="12"/>
      <color rgb="FF1F1F1F"/>
      <name val="SutonnyMJ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ck">
        <color theme="6" tint="-0.499984740745262"/>
      </left>
      <right style="thick">
        <color theme="6" tint="-0.499984740745262"/>
      </right>
      <top style="thick">
        <color theme="6" tint="-0.499984740745262"/>
      </top>
      <bottom style="thick">
        <color theme="6" tint="-0.499984740745262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 wrapText="1"/>
    </xf>
    <xf numFmtId="0" fontId="1" fillId="0" borderId="0" xfId="0" applyFont="1" applyAlignment="1">
      <alignment horizontal="center" wrapText="1"/>
    </xf>
    <xf numFmtId="0" fontId="0" fillId="0" borderId="0" xfId="0" applyBorder="1" applyAlignment="1">
      <alignment horizontal="center" wrapText="1"/>
    </xf>
    <xf numFmtId="0" fontId="2" fillId="0" borderId="0" xfId="0" applyFont="1" applyBorder="1" applyAlignment="1">
      <alignment horizontal="center" vertical="center" wrapText="1" readingOrder="1"/>
    </xf>
    <xf numFmtId="0" fontId="3" fillId="0" borderId="0" xfId="0" applyFont="1" applyBorder="1" applyAlignment="1">
      <alignment horizontal="center" vertical="center" wrapText="1" readingOrder="1"/>
    </xf>
    <xf numFmtId="0" fontId="4" fillId="0" borderId="0" xfId="0" applyFont="1" applyBorder="1" applyAlignment="1">
      <alignment horizontal="center" vertical="center" wrapText="1" readingOrder="1"/>
    </xf>
    <xf numFmtId="0" fontId="5" fillId="2" borderId="1" xfId="0" applyFont="1" applyFill="1" applyBorder="1" applyAlignment="1">
      <alignment horizontal="center" vertical="center" wrapText="1" readingOrder="1"/>
    </xf>
    <xf numFmtId="0" fontId="6" fillId="0" borderId="0" xfId="0" applyFont="1" applyAlignment="1">
      <alignment vertical="center" wrapText="1"/>
    </xf>
    <xf numFmtId="164" fontId="7" fillId="0" borderId="1" xfId="0" applyNumberFormat="1" applyFont="1" applyBorder="1" applyAlignment="1">
      <alignment horizontal="center" vertical="center" wrapText="1" readingOrder="1"/>
    </xf>
    <xf numFmtId="0" fontId="8" fillId="0" borderId="1" xfId="0" applyFont="1" applyBorder="1" applyAlignment="1">
      <alignment horizontal="center" vertical="center" wrapText="1" readingOrder="1"/>
    </xf>
    <xf numFmtId="0" fontId="9" fillId="0" borderId="1" xfId="0" applyFont="1" applyBorder="1" applyAlignment="1">
      <alignment horizontal="center" vertical="center" wrapText="1" readingOrder="1"/>
    </xf>
    <xf numFmtId="0" fontId="7" fillId="0" borderId="1" xfId="0" applyFont="1" applyBorder="1" applyAlignment="1">
      <alignment horizontal="center" vertical="center" wrapText="1" readingOrder="1"/>
    </xf>
    <xf numFmtId="0" fontId="10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 vertical="center" wrapText="1" readingOrder="1"/>
    </xf>
  </cellXfs>
  <cellStyles count="1">
    <cellStyle name="Normal" xfId="0" builtinId="0"/>
  </cellStyles>
  <dxfs count="20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1" indent="0" justifyLastLine="0" shrinkToFit="0" readingOrder="0"/>
    </dxf>
    <dxf>
      <font>
        <b/>
      </font>
      <alignment horizontal="center" textRotation="0" wrapText="1" indent="0" justifyLastLine="0" shrinkToFit="0"/>
    </dxf>
    <dxf>
      <alignment horizontal="center" vertical="bottom" textRotation="0" wrapText="1" indent="0" justifyLastLine="0" shrinkToFit="0" readingOrder="0"/>
    </dxf>
    <dxf>
      <alignment horizontal="center" textRotation="0" wrapText="1" indent="0" justifyLastLine="0" shrinkToFit="0"/>
    </dxf>
    <dxf>
      <alignment horizontal="center" vertical="bottom" textRotation="0" wrapText="1" indent="0" justifyLastLine="0" shrinkToFit="0" readingOrder="0"/>
    </dxf>
    <dxf>
      <alignment horizontal="center" textRotation="0" wrapText="1" indent="0" justifyLastLine="0" shrinkToFit="0"/>
    </dxf>
    <dxf>
      <alignment horizontal="center" vertical="bottom" textRotation="0" wrapText="1" indent="0" justifyLastLine="0" shrinkToFit="0" readingOrder="0"/>
    </dxf>
    <dxf>
      <alignment horizontal="center" textRotation="0" wrapText="1" indent="0" justifyLastLine="0" shrinkToFit="0"/>
    </dxf>
    <dxf>
      <alignment horizontal="center" vertical="bottom" textRotation="0" wrapText="1" indent="0" justifyLastLine="0" shrinkToFit="0" readingOrder="0"/>
    </dxf>
    <dxf>
      <alignment horizontal="center" textRotation="0" wrapText="1" indent="0" justifyLastLine="0" shrinkToFit="0"/>
    </dxf>
    <dxf>
      <alignment horizontal="center" vertical="bottom" textRotation="0" wrapText="1" indent="0" justifyLastLine="0" shrinkToFit="0" readingOrder="0"/>
    </dxf>
    <dxf>
      <alignment horizontal="center" textRotation="0" wrapText="1" indent="0" justifyLastLine="0" shrinkToFit="0"/>
    </dxf>
    <dxf>
      <alignment horizontal="center" vertical="bottom" textRotation="0" wrapText="1" indent="0" justifyLastLine="0" shrinkToFit="0" readingOrder="0"/>
    </dxf>
    <dxf>
      <alignment horizontal="center" textRotation="0" wrapText="1" indent="0" justifyLastLine="0" shrinkToFit="0"/>
    </dxf>
    <dxf>
      <alignment horizontal="center" vertical="bottom" textRotation="0" wrapText="1" indent="0" justifyLastLine="0" shrinkToFit="0" readingOrder="0"/>
    </dxf>
    <dxf>
      <alignment horizontal="center" textRotation="0" wrapText="1" indent="0" justifyLastLine="0" shrinkToFit="0"/>
    </dxf>
    <dxf>
      <border outline="0">
        <top style="medium">
          <color rgb="FF000000"/>
        </top>
      </border>
    </dxf>
    <dxf>
      <alignment horizontal="center" textRotation="0" wrapText="1" indent="0" justifyLastLine="0" shrinkToFit="0"/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Aptos Narrow"/>
        <family val="2"/>
        <scheme val="none"/>
      </font>
      <fill>
        <patternFill patternType="solid">
          <fgColor indexed="64"/>
          <bgColor rgb="FF92D050"/>
        </patternFill>
      </fill>
      <alignment horizontal="center" vertical="center" textRotation="0" wrapText="1" indent="0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/>
        <bottom/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H1047027" headerRowDxfId="19" dataDxfId="17" headerRowBorderDxfId="18" tableBorderDxfId="16">
  <tableColumns count="8">
    <tableColumn id="1" xr3:uid="{00000000-0010-0000-0000-000001000000}" name="মালিকের নাম" totalsRowLabel="Total" dataDxfId="15" totalsRowDxfId="14"/>
    <tableColumn id="2" xr3:uid="{00000000-0010-0000-0000-000002000000}" name="আনা" dataDxfId="13" totalsRowDxfId="12"/>
    <tableColumn id="3" xr3:uid="{00000000-0010-0000-0000-000003000000}" name="গন্ডা" dataDxfId="11" totalsRowDxfId="10"/>
    <tableColumn id="4" xr3:uid="{00000000-0010-0000-0000-000004000000}" name="কড়া" dataDxfId="9" totalsRowDxfId="8"/>
    <tableColumn id="5" xr3:uid="{00000000-0010-0000-0000-000005000000}" name="ক্রান্তি" dataDxfId="7" totalsRowDxfId="6"/>
    <tableColumn id="6" xr3:uid="{00000000-0010-0000-0000-000006000000}" name="তিল" dataDxfId="5" totalsRowDxfId="4"/>
    <tableColumn id="7" xr3:uid="{00000000-0010-0000-0000-000007000000}" name="মোট তিল" dataDxfId="3" totalsRowDxfId="2"/>
    <tableColumn id="8" xr3:uid="{00000000-0010-0000-0000-000008000000}" name="১ অংশের ভাগ" totalsRowFunction="sum" dataDxfId="1" totalsRowDxfId="0"/>
  </tableColumns>
  <tableStyleInfo showFirstColumn="1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11"/>
  <sheetViews>
    <sheetView tabSelected="1" showRuler="0" topLeftCell="E7" zoomScale="130" zoomScaleNormal="130" workbookViewId="0">
      <selection activeCell="J7" sqref="J7:J11"/>
    </sheetView>
  </sheetViews>
  <sheetFormatPr defaultRowHeight="14.4"/>
  <cols>
    <col min="1" max="1" width="10.5546875" style="1" customWidth="1"/>
    <col min="2" max="2" width="9.88671875" style="1" customWidth="1"/>
    <col min="3" max="3" width="10.21875" style="1" customWidth="1"/>
    <col min="4" max="4" width="10.33203125" style="1" customWidth="1"/>
    <col min="5" max="5" width="10.5546875" style="1" customWidth="1"/>
    <col min="6" max="6" width="10.109375" style="1" customWidth="1"/>
    <col min="7" max="7" width="10.5546875" style="1" customWidth="1"/>
    <col min="8" max="8" width="18.33203125" style="2" customWidth="1"/>
    <col min="10" max="10" width="57.33203125" customWidth="1"/>
  </cols>
  <sheetData>
    <row r="1" spans="1:10" ht="35.4" customHeight="1" thickTop="1" thickBo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</row>
    <row r="2" spans="1:10" ht="18" thickTop="1" thickBot="1">
      <c r="A2" s="9">
        <v>1</v>
      </c>
      <c r="B2" s="9">
        <v>16</v>
      </c>
      <c r="C2" s="9"/>
      <c r="D2" s="9"/>
      <c r="E2" s="9"/>
      <c r="F2" s="9"/>
      <c r="G2" s="10">
        <f t="shared" ref="G2:G7" si="0">(B2*4800)+(C2*240)+(D2*60)+(E2*20)+F2</f>
        <v>76800</v>
      </c>
      <c r="H2" s="11">
        <f t="shared" ref="H2:H20" si="1">G2/76800</f>
        <v>1</v>
      </c>
    </row>
    <row r="3" spans="1:10" ht="18" thickTop="1" thickBot="1">
      <c r="A3" s="9">
        <v>2</v>
      </c>
      <c r="B3" s="9"/>
      <c r="C3" s="9"/>
      <c r="D3" s="9"/>
      <c r="E3" s="9"/>
      <c r="F3" s="9"/>
      <c r="G3" s="10">
        <f t="shared" si="0"/>
        <v>0</v>
      </c>
      <c r="H3" s="11">
        <f t="shared" si="1"/>
        <v>0</v>
      </c>
    </row>
    <row r="4" spans="1:10" ht="18" thickTop="1" thickBot="1">
      <c r="A4" s="9">
        <v>3</v>
      </c>
      <c r="B4" s="9"/>
      <c r="C4" s="9"/>
      <c r="D4" s="9"/>
      <c r="E4" s="9"/>
      <c r="F4" s="9"/>
      <c r="G4" s="10">
        <f t="shared" si="0"/>
        <v>0</v>
      </c>
      <c r="H4" s="11">
        <f t="shared" si="1"/>
        <v>0</v>
      </c>
    </row>
    <row r="5" spans="1:10" ht="18" thickTop="1" thickBot="1">
      <c r="A5" s="9">
        <v>4</v>
      </c>
      <c r="B5" s="9"/>
      <c r="C5" s="9"/>
      <c r="D5" s="9"/>
      <c r="E5" s="12"/>
      <c r="F5" s="9"/>
      <c r="G5" s="10">
        <f t="shared" si="0"/>
        <v>0</v>
      </c>
      <c r="H5" s="11">
        <f t="shared" si="1"/>
        <v>0</v>
      </c>
    </row>
    <row r="6" spans="1:10" ht="18" thickTop="1" thickBot="1">
      <c r="A6" s="9">
        <v>5</v>
      </c>
      <c r="B6" s="9"/>
      <c r="C6" s="9"/>
      <c r="D6" s="9"/>
      <c r="E6" s="9"/>
      <c r="F6" s="9"/>
      <c r="G6" s="10">
        <f t="shared" si="0"/>
        <v>0</v>
      </c>
      <c r="H6" s="11">
        <f t="shared" si="1"/>
        <v>0</v>
      </c>
      <c r="J6" t="s">
        <v>11</v>
      </c>
    </row>
    <row r="7" spans="1:10" ht="18" thickTop="1" thickBot="1">
      <c r="A7" s="9">
        <v>6</v>
      </c>
      <c r="B7" s="9"/>
      <c r="C7" s="9"/>
      <c r="D7" s="9"/>
      <c r="E7" s="9"/>
      <c r="F7" s="9"/>
      <c r="G7" s="10">
        <f t="shared" si="0"/>
        <v>0</v>
      </c>
      <c r="H7" s="11">
        <f t="shared" si="1"/>
        <v>0</v>
      </c>
      <c r="J7" t="s">
        <v>216</v>
      </c>
    </row>
    <row r="8" spans="1:10" ht="18" thickTop="1" thickBot="1">
      <c r="A8" s="9">
        <v>7</v>
      </c>
      <c r="B8" s="9"/>
      <c r="C8" s="9"/>
      <c r="D8" s="9"/>
      <c r="E8" s="9"/>
      <c r="F8" s="9"/>
      <c r="G8" s="10">
        <f>(B8*4800)+(C8*240)+(D8*60)+(E8*20)+F8</f>
        <v>0</v>
      </c>
      <c r="H8" s="11">
        <f t="shared" si="1"/>
        <v>0</v>
      </c>
      <c r="J8" t="s">
        <v>217</v>
      </c>
    </row>
    <row r="9" spans="1:10" ht="18" thickTop="1" thickBot="1">
      <c r="A9" s="9">
        <v>8</v>
      </c>
      <c r="B9" s="9"/>
      <c r="C9" s="9"/>
      <c r="D9" s="9"/>
      <c r="E9" s="9"/>
      <c r="F9" s="12"/>
      <c r="G9" s="10">
        <f>(B9*4800)+(C9*240)+(D9*60)+(E9*20)+F9</f>
        <v>0</v>
      </c>
      <c r="H9" s="11">
        <f t="shared" si="1"/>
        <v>0</v>
      </c>
      <c r="J9" t="s">
        <v>218</v>
      </c>
    </row>
    <row r="10" spans="1:10" ht="18" thickTop="1" thickBot="1">
      <c r="A10" s="9">
        <v>9</v>
      </c>
      <c r="B10" s="9"/>
      <c r="C10" s="9"/>
      <c r="D10" s="9"/>
      <c r="E10" s="12"/>
      <c r="F10" s="12"/>
      <c r="G10" s="10">
        <f>(B10*4800)+(C10*240)+(D10*60)+(E10*20)+F10</f>
        <v>0</v>
      </c>
      <c r="H10" s="11">
        <f t="shared" si="1"/>
        <v>0</v>
      </c>
      <c r="J10" t="s">
        <v>10</v>
      </c>
    </row>
    <row r="11" spans="1:10" ht="18" thickTop="1" thickBot="1">
      <c r="A11" s="9">
        <v>10</v>
      </c>
      <c r="B11" s="9"/>
      <c r="C11" s="9"/>
      <c r="D11" s="9"/>
      <c r="E11" s="12"/>
      <c r="F11" s="12"/>
      <c r="G11" s="10">
        <f>(B11*4800)+(C11*240)+(D11*60)+(E11*20)+F11</f>
        <v>0</v>
      </c>
      <c r="H11" s="11">
        <f t="shared" si="1"/>
        <v>0</v>
      </c>
      <c r="J11" t="s">
        <v>9</v>
      </c>
    </row>
    <row r="12" spans="1:10" ht="18" thickTop="1" thickBot="1">
      <c r="A12" s="9">
        <v>11</v>
      </c>
      <c r="B12" s="12"/>
      <c r="C12" s="12"/>
      <c r="D12" s="12"/>
      <c r="E12" s="12"/>
      <c r="F12" s="12"/>
      <c r="G12" s="10">
        <f t="shared" ref="G12:G20" si="2">(B12*4800)+(C12*240)+(D12*60)+(E12*20)+F12</f>
        <v>0</v>
      </c>
      <c r="H12" s="11">
        <f t="shared" si="1"/>
        <v>0</v>
      </c>
    </row>
    <row r="13" spans="1:10" ht="18" thickTop="1" thickBot="1">
      <c r="A13" s="9">
        <v>12</v>
      </c>
      <c r="B13" s="12"/>
      <c r="C13" s="12"/>
      <c r="D13" s="12"/>
      <c r="E13" s="12"/>
      <c r="F13" s="12"/>
      <c r="G13" s="10">
        <f t="shared" si="2"/>
        <v>0</v>
      </c>
      <c r="H13" s="11">
        <f t="shared" si="1"/>
        <v>0</v>
      </c>
      <c r="J13" t="s">
        <v>215</v>
      </c>
    </row>
    <row r="14" spans="1:10" ht="18" thickTop="1" thickBot="1">
      <c r="A14" s="9">
        <v>13</v>
      </c>
      <c r="B14" s="12"/>
      <c r="C14" s="12"/>
      <c r="D14" s="12"/>
      <c r="E14" s="12"/>
      <c r="F14" s="12"/>
      <c r="G14" s="10">
        <f t="shared" si="2"/>
        <v>0</v>
      </c>
      <c r="H14" s="11">
        <f t="shared" si="1"/>
        <v>0</v>
      </c>
    </row>
    <row r="15" spans="1:10" ht="18" thickTop="1" thickBot="1">
      <c r="A15" s="9">
        <v>14</v>
      </c>
      <c r="B15" s="12"/>
      <c r="C15" s="12"/>
      <c r="D15" s="12"/>
      <c r="E15" s="12"/>
      <c r="F15" s="12"/>
      <c r="G15" s="10">
        <f t="shared" si="2"/>
        <v>0</v>
      </c>
      <c r="H15" s="11">
        <f t="shared" si="1"/>
        <v>0</v>
      </c>
    </row>
    <row r="16" spans="1:10" ht="18" thickTop="1" thickBot="1">
      <c r="A16" s="9">
        <v>15</v>
      </c>
      <c r="B16" s="12"/>
      <c r="C16" s="12"/>
      <c r="D16" s="12"/>
      <c r="E16" s="12"/>
      <c r="F16" s="12"/>
      <c r="G16" s="10">
        <f t="shared" si="2"/>
        <v>0</v>
      </c>
      <c r="H16" s="11">
        <f t="shared" si="1"/>
        <v>0</v>
      </c>
    </row>
    <row r="17" spans="1:10" ht="18" thickTop="1" thickBot="1">
      <c r="A17" s="9">
        <v>16</v>
      </c>
      <c r="B17" s="12"/>
      <c r="C17" s="12"/>
      <c r="D17" s="12"/>
      <c r="E17" s="12"/>
      <c r="F17" s="12"/>
      <c r="G17" s="10">
        <f t="shared" si="2"/>
        <v>0</v>
      </c>
      <c r="H17" s="11">
        <f t="shared" si="1"/>
        <v>0</v>
      </c>
    </row>
    <row r="18" spans="1:10" ht="18" thickTop="1" thickBot="1">
      <c r="A18" s="9">
        <v>17</v>
      </c>
      <c r="B18" s="12"/>
      <c r="C18" s="12"/>
      <c r="D18" s="12"/>
      <c r="E18" s="12"/>
      <c r="F18" s="12"/>
      <c r="G18" s="10">
        <f t="shared" si="2"/>
        <v>0</v>
      </c>
      <c r="H18" s="11">
        <f t="shared" si="1"/>
        <v>0</v>
      </c>
      <c r="J18" s="8"/>
    </row>
    <row r="19" spans="1:10" ht="18" thickTop="1" thickBot="1">
      <c r="A19" s="9">
        <v>18</v>
      </c>
      <c r="B19" s="12"/>
      <c r="C19" s="12"/>
      <c r="D19" s="12"/>
      <c r="E19" s="12"/>
      <c r="F19" s="12"/>
      <c r="G19" s="10">
        <f t="shared" si="2"/>
        <v>0</v>
      </c>
      <c r="H19" s="11">
        <f t="shared" si="1"/>
        <v>0</v>
      </c>
    </row>
    <row r="20" spans="1:10" ht="18" thickTop="1" thickBot="1">
      <c r="A20" s="9">
        <v>19</v>
      </c>
      <c r="B20" s="12"/>
      <c r="C20" s="12"/>
      <c r="D20" s="12"/>
      <c r="E20" s="12"/>
      <c r="F20" s="12"/>
      <c r="G20" s="10">
        <f t="shared" si="2"/>
        <v>0</v>
      </c>
      <c r="H20" s="11">
        <f t="shared" si="1"/>
        <v>0</v>
      </c>
    </row>
    <row r="21" spans="1:10" ht="18" thickTop="1" thickBot="1">
      <c r="A21" s="13"/>
      <c r="B21" s="12"/>
      <c r="C21" s="12"/>
      <c r="D21" s="12"/>
      <c r="E21" s="12"/>
      <c r="F21" s="14" t="s">
        <v>8</v>
      </c>
      <c r="G21" s="13"/>
      <c r="H21" s="11">
        <f>SUM(H2:H20)</f>
        <v>1</v>
      </c>
    </row>
    <row r="22" spans="1:10" ht="15" thickTop="1">
      <c r="A22" s="3"/>
      <c r="B22" s="4"/>
      <c r="C22" s="4"/>
      <c r="D22" s="4"/>
      <c r="E22" s="4"/>
      <c r="F22" s="5"/>
      <c r="H22" s="6"/>
    </row>
    <row r="24" spans="1:10" ht="72">
      <c r="A24" s="1" t="s">
        <v>12</v>
      </c>
    </row>
    <row r="25" spans="1:10" ht="28.8">
      <c r="A25" s="1" t="s">
        <v>13</v>
      </c>
    </row>
    <row r="26" spans="1:10">
      <c r="A26" s="1" t="s">
        <v>14</v>
      </c>
    </row>
    <row r="27" spans="1:10">
      <c r="A27" s="1" t="s">
        <v>15</v>
      </c>
    </row>
    <row r="28" spans="1:10">
      <c r="A28" s="1" t="s">
        <v>16</v>
      </c>
    </row>
    <row r="29" spans="1:10">
      <c r="A29" s="1" t="s">
        <v>17</v>
      </c>
    </row>
    <row r="30" spans="1:10" ht="28.8">
      <c r="A30" s="1" t="s">
        <v>18</v>
      </c>
    </row>
    <row r="31" spans="1:10" ht="28.8">
      <c r="A31" s="1" t="s">
        <v>19</v>
      </c>
    </row>
    <row r="35" spans="1:1" ht="57.6">
      <c r="A35" s="1" t="s">
        <v>20</v>
      </c>
    </row>
    <row r="36" spans="1:1" ht="57.6">
      <c r="A36" s="1" t="s">
        <v>21</v>
      </c>
    </row>
    <row r="37" spans="1:1" ht="100.8">
      <c r="A37" s="1" t="s">
        <v>22</v>
      </c>
    </row>
    <row r="38" spans="1:1" ht="43.2">
      <c r="A38" s="1" t="s">
        <v>23</v>
      </c>
    </row>
    <row r="39" spans="1:1" ht="43.2">
      <c r="A39" s="1" t="s">
        <v>24</v>
      </c>
    </row>
    <row r="40" spans="1:1" ht="57.6">
      <c r="A40" s="1" t="s">
        <v>25</v>
      </c>
    </row>
    <row r="42" spans="1:1">
      <c r="A42" s="1" t="s">
        <v>26</v>
      </c>
    </row>
    <row r="44" spans="1:1" ht="57.6">
      <c r="A44" s="1" t="s">
        <v>27</v>
      </c>
    </row>
    <row r="46" spans="1:1" ht="43.2">
      <c r="A46" s="1" t="s">
        <v>28</v>
      </c>
    </row>
    <row r="47" spans="1:1" ht="100.8">
      <c r="A47" s="1" t="s">
        <v>29</v>
      </c>
    </row>
    <row r="48" spans="1:1" ht="72">
      <c r="A48" s="1" t="s">
        <v>30</v>
      </c>
    </row>
    <row r="49" spans="1:1" ht="57.6">
      <c r="A49" s="1" t="s">
        <v>31</v>
      </c>
    </row>
    <row r="51" spans="1:1" ht="57.6">
      <c r="A51" s="1" t="s">
        <v>32</v>
      </c>
    </row>
    <row r="52" spans="1:1" ht="57.6">
      <c r="A52" s="1" t="s">
        <v>33</v>
      </c>
    </row>
    <row r="53" spans="1:1" ht="28.8">
      <c r="A53" s="1" t="s">
        <v>34</v>
      </c>
    </row>
    <row r="54" spans="1:1" ht="86.4">
      <c r="A54" s="1" t="s">
        <v>35</v>
      </c>
    </row>
    <row r="55" spans="1:1" ht="28.8">
      <c r="A55" s="1" t="s">
        <v>36</v>
      </c>
    </row>
    <row r="56" spans="1:1">
      <c r="A56" s="1" t="s">
        <v>37</v>
      </c>
    </row>
    <row r="57" spans="1:1" ht="28.8">
      <c r="A57" s="1" t="s">
        <v>38</v>
      </c>
    </row>
    <row r="58" spans="1:1" ht="43.2">
      <c r="A58" s="1" t="s">
        <v>39</v>
      </c>
    </row>
    <row r="60" spans="1:1" ht="57.6">
      <c r="A60" s="1" t="s">
        <v>40</v>
      </c>
    </row>
    <row r="62" spans="1:1" ht="57.6">
      <c r="A62" s="1" t="s">
        <v>41</v>
      </c>
    </row>
    <row r="63" spans="1:1" ht="57.6">
      <c r="A63" s="1" t="s">
        <v>42</v>
      </c>
    </row>
    <row r="64" spans="1:1" ht="57.6">
      <c r="A64" s="1" t="s">
        <v>43</v>
      </c>
    </row>
    <row r="65" spans="1:1" ht="43.2">
      <c r="A65" s="1" t="s">
        <v>44</v>
      </c>
    </row>
    <row r="66" spans="1:1" ht="43.2">
      <c r="A66" s="1" t="s">
        <v>45</v>
      </c>
    </row>
    <row r="67" spans="1:1" ht="28.8">
      <c r="A67" s="1" t="s">
        <v>46</v>
      </c>
    </row>
    <row r="69" spans="1:1" ht="28.8">
      <c r="A69" s="1" t="s">
        <v>47</v>
      </c>
    </row>
    <row r="71" spans="1:1" ht="57.6">
      <c r="A71" s="1" t="s">
        <v>48</v>
      </c>
    </row>
    <row r="73" spans="1:1" ht="57.6">
      <c r="A73" s="1" t="s">
        <v>49</v>
      </c>
    </row>
    <row r="75" spans="1:1" ht="115.2">
      <c r="A75" s="1" t="s">
        <v>50</v>
      </c>
    </row>
    <row r="76" spans="1:1" ht="43.2">
      <c r="A76" s="1" t="s">
        <v>51</v>
      </c>
    </row>
    <row r="77" spans="1:1" ht="72">
      <c r="A77" s="1" t="s">
        <v>52</v>
      </c>
    </row>
    <row r="78" spans="1:1" ht="57.6">
      <c r="A78" s="1" t="s">
        <v>53</v>
      </c>
    </row>
    <row r="79" spans="1:1" ht="28.8">
      <c r="A79" s="1" t="s">
        <v>54</v>
      </c>
    </row>
    <row r="81" spans="1:1" ht="57.6">
      <c r="A81" s="1" t="s">
        <v>55</v>
      </c>
    </row>
    <row r="83" spans="1:1" ht="28.8">
      <c r="A83" s="1" t="s">
        <v>56</v>
      </c>
    </row>
    <row r="84" spans="1:1" ht="86.4">
      <c r="A84" s="1" t="s">
        <v>57</v>
      </c>
    </row>
    <row r="85" spans="1:1" ht="57.6">
      <c r="A85" s="1" t="s">
        <v>58</v>
      </c>
    </row>
    <row r="87" spans="1:1" ht="72">
      <c r="A87" s="1" t="s">
        <v>59</v>
      </c>
    </row>
    <row r="89" spans="1:1" ht="144">
      <c r="A89" s="1" t="s">
        <v>60</v>
      </c>
    </row>
    <row r="90" spans="1:1" ht="57.6">
      <c r="A90" s="1" t="s">
        <v>61</v>
      </c>
    </row>
    <row r="91" spans="1:1" ht="43.2">
      <c r="A91" s="1" t="s">
        <v>62</v>
      </c>
    </row>
    <row r="92" spans="1:1" ht="28.8">
      <c r="A92" s="1" t="s">
        <v>63</v>
      </c>
    </row>
    <row r="94" spans="1:1" ht="72">
      <c r="A94" s="1" t="s">
        <v>64</v>
      </c>
    </row>
    <row r="96" spans="1:1" ht="57.6">
      <c r="A96" s="1" t="s">
        <v>65</v>
      </c>
    </row>
    <row r="97" spans="1:1" ht="57.6">
      <c r="A97" s="1" t="s">
        <v>66</v>
      </c>
    </row>
    <row r="98" spans="1:1" ht="43.2">
      <c r="A98" s="1" t="s">
        <v>67</v>
      </c>
    </row>
    <row r="99" spans="1:1" ht="57.6">
      <c r="A99" s="1" t="s">
        <v>68</v>
      </c>
    </row>
    <row r="100" spans="1:1" ht="28.8">
      <c r="A100" s="1" t="s">
        <v>69</v>
      </c>
    </row>
    <row r="102" spans="1:1" ht="57.6">
      <c r="A102" s="1" t="s">
        <v>70</v>
      </c>
    </row>
    <row r="104" spans="1:1" ht="72">
      <c r="A104" s="1" t="s">
        <v>71</v>
      </c>
    </row>
    <row r="105" spans="1:1" ht="57.6">
      <c r="A105" s="1" t="s">
        <v>72</v>
      </c>
    </row>
    <row r="106" spans="1:1" ht="43.2">
      <c r="A106" s="1" t="s">
        <v>73</v>
      </c>
    </row>
    <row r="107" spans="1:1" ht="43.2">
      <c r="A107" s="1" t="s">
        <v>74</v>
      </c>
    </row>
    <row r="108" spans="1:1" ht="28.8">
      <c r="A108" s="1" t="s">
        <v>75</v>
      </c>
    </row>
    <row r="110" spans="1:1" ht="86.4">
      <c r="A110" s="1" t="s">
        <v>76</v>
      </c>
    </row>
    <row r="112" spans="1:1" ht="43.2">
      <c r="A112" s="1" t="s">
        <v>77</v>
      </c>
    </row>
    <row r="113" spans="1:1" ht="57.6">
      <c r="A113" s="1" t="s">
        <v>78</v>
      </c>
    </row>
    <row r="114" spans="1:1" ht="57.6">
      <c r="A114" s="1" t="s">
        <v>79</v>
      </c>
    </row>
    <row r="115" spans="1:1" ht="43.2">
      <c r="A115" s="1" t="s">
        <v>80</v>
      </c>
    </row>
    <row r="116" spans="1:1" ht="57.6">
      <c r="A116" s="1" t="s">
        <v>81</v>
      </c>
    </row>
    <row r="117" spans="1:1" ht="57.6">
      <c r="A117" s="1" t="s">
        <v>82</v>
      </c>
    </row>
    <row r="118" spans="1:1" ht="43.2">
      <c r="A118" s="1" t="s">
        <v>83</v>
      </c>
    </row>
    <row r="120" spans="1:1" ht="72">
      <c r="A120" s="1" t="s">
        <v>84</v>
      </c>
    </row>
    <row r="122" spans="1:1" ht="72">
      <c r="A122" s="1" t="s">
        <v>85</v>
      </c>
    </row>
    <row r="123" spans="1:1" ht="86.4">
      <c r="A123" s="1" t="s">
        <v>86</v>
      </c>
    </row>
    <row r="124" spans="1:1" ht="86.4">
      <c r="A124" s="1" t="s">
        <v>87</v>
      </c>
    </row>
    <row r="125" spans="1:1" ht="86.4">
      <c r="A125" s="1" t="s">
        <v>88</v>
      </c>
    </row>
    <row r="126" spans="1:1" ht="57.6">
      <c r="A126" s="1" t="s">
        <v>89</v>
      </c>
    </row>
    <row r="128" spans="1:1" ht="72">
      <c r="A128" s="1" t="s">
        <v>90</v>
      </c>
    </row>
    <row r="130" spans="1:1" ht="86.4">
      <c r="A130" s="1" t="s">
        <v>91</v>
      </c>
    </row>
    <row r="131" spans="1:1" ht="57.6">
      <c r="A131" s="1" t="s">
        <v>92</v>
      </c>
    </row>
    <row r="132" spans="1:1" ht="72">
      <c r="A132" s="1" t="s">
        <v>93</v>
      </c>
    </row>
    <row r="133" spans="1:1" ht="72">
      <c r="A133" s="1" t="s">
        <v>94</v>
      </c>
    </row>
    <row r="134" spans="1:1" ht="72">
      <c r="A134" s="1" t="s">
        <v>95</v>
      </c>
    </row>
    <row r="135" spans="1:1" ht="43.2">
      <c r="A135" s="1" t="s">
        <v>96</v>
      </c>
    </row>
    <row r="137" spans="1:1" ht="43.2">
      <c r="A137" s="1" t="s">
        <v>97</v>
      </c>
    </row>
    <row r="139" spans="1:1" ht="100.8">
      <c r="A139" s="1" t="s">
        <v>98</v>
      </c>
    </row>
    <row r="140" spans="1:1" ht="129.6">
      <c r="A140" s="1" t="s">
        <v>99</v>
      </c>
    </row>
    <row r="141" spans="1:1" ht="43.2">
      <c r="A141" s="1" t="s">
        <v>100</v>
      </c>
    </row>
    <row r="142" spans="1:1" ht="28.8">
      <c r="A142" s="1" t="s">
        <v>101</v>
      </c>
    </row>
    <row r="143" spans="1:1" ht="43.2">
      <c r="A143" s="1" t="s">
        <v>102</v>
      </c>
    </row>
    <row r="144" spans="1:1" ht="43.2">
      <c r="A144" s="1" t="s">
        <v>103</v>
      </c>
    </row>
    <row r="145" spans="1:1" ht="72">
      <c r="A145" s="1" t="s">
        <v>104</v>
      </c>
    </row>
    <row r="146" spans="1:1" ht="57.6">
      <c r="A146" s="1" t="s">
        <v>105</v>
      </c>
    </row>
    <row r="147" spans="1:1" ht="43.2">
      <c r="A147" s="1" t="s">
        <v>106</v>
      </c>
    </row>
    <row r="148" spans="1:1" ht="43.2">
      <c r="A148" s="1" t="s">
        <v>107</v>
      </c>
    </row>
    <row r="149" spans="1:1" ht="28.8">
      <c r="A149" s="1" t="s">
        <v>108</v>
      </c>
    </row>
    <row r="150" spans="1:1" ht="100.8">
      <c r="A150" s="1" t="s">
        <v>109</v>
      </c>
    </row>
    <row r="151" spans="1:1" ht="43.2">
      <c r="A151" s="1" t="s">
        <v>110</v>
      </c>
    </row>
    <row r="152" spans="1:1" ht="28.8">
      <c r="A152" s="1" t="s">
        <v>111</v>
      </c>
    </row>
    <row r="154" spans="1:1" ht="72">
      <c r="A154" s="1" t="s">
        <v>112</v>
      </c>
    </row>
    <row r="156" spans="1:1" ht="28.8">
      <c r="A156" s="1" t="s">
        <v>113</v>
      </c>
    </row>
    <row r="157" spans="1:1" ht="100.8">
      <c r="A157" s="1" t="s">
        <v>114</v>
      </c>
    </row>
    <row r="158" spans="1:1" ht="57.6">
      <c r="A158" s="1" t="s">
        <v>61</v>
      </c>
    </row>
    <row r="160" spans="1:1" ht="72">
      <c r="A160" s="1" t="s">
        <v>115</v>
      </c>
    </row>
    <row r="162" spans="1:1" ht="28.8">
      <c r="A162" s="1" t="s">
        <v>56</v>
      </c>
    </row>
    <row r="163" spans="1:1" ht="43.2">
      <c r="A163" s="1" t="s">
        <v>116</v>
      </c>
    </row>
    <row r="164" spans="1:1" ht="72">
      <c r="A164" s="1" t="s">
        <v>117</v>
      </c>
    </row>
    <row r="165" spans="1:1" ht="43.2">
      <c r="A165" s="1" t="s">
        <v>118</v>
      </c>
    </row>
    <row r="167" spans="1:1" ht="72">
      <c r="A167" s="1" t="s">
        <v>119</v>
      </c>
    </row>
    <row r="169" spans="1:1" ht="43.2">
      <c r="A169" s="1" t="s">
        <v>118</v>
      </c>
    </row>
    <row r="170" spans="1:1" ht="72">
      <c r="A170" s="1" t="s">
        <v>120</v>
      </c>
    </row>
    <row r="171" spans="1:1" ht="43.2">
      <c r="A171" s="1" t="s">
        <v>121</v>
      </c>
    </row>
    <row r="172" spans="1:1" ht="57.6">
      <c r="A172" s="1" t="s">
        <v>122</v>
      </c>
    </row>
    <row r="173" spans="1:1" ht="57.6">
      <c r="A173" s="1" t="s">
        <v>123</v>
      </c>
    </row>
    <row r="174" spans="1:1" ht="57.6">
      <c r="A174" s="1" t="s">
        <v>124</v>
      </c>
    </row>
    <row r="175" spans="1:1" ht="28.8">
      <c r="A175" s="1" t="s">
        <v>125</v>
      </c>
    </row>
    <row r="177" spans="1:1" ht="57.6">
      <c r="A177" s="1" t="s">
        <v>126</v>
      </c>
    </row>
    <row r="179" spans="1:1" ht="28.8">
      <c r="A179" s="1" t="s">
        <v>127</v>
      </c>
    </row>
    <row r="180" spans="1:1" ht="86.4">
      <c r="A180" s="1" t="s">
        <v>128</v>
      </c>
    </row>
    <row r="181" spans="1:1" ht="57.6">
      <c r="A181" s="1" t="s">
        <v>129</v>
      </c>
    </row>
    <row r="182" spans="1:1" ht="43.2">
      <c r="A182" s="1" t="s">
        <v>130</v>
      </c>
    </row>
    <row r="183" spans="1:1" ht="72">
      <c r="A183" s="1" t="s">
        <v>131</v>
      </c>
    </row>
    <row r="185" spans="1:1" ht="72">
      <c r="A185" s="1" t="s">
        <v>132</v>
      </c>
    </row>
    <row r="187" spans="1:1" ht="43.2">
      <c r="A187" s="1" t="s">
        <v>133</v>
      </c>
    </row>
    <row r="188" spans="1:1" ht="115.2">
      <c r="A188" s="1" t="s">
        <v>134</v>
      </c>
    </row>
    <row r="189" spans="1:1" ht="57.6">
      <c r="A189" s="1" t="s">
        <v>135</v>
      </c>
    </row>
    <row r="190" spans="1:1" ht="43.2">
      <c r="A190" s="1" t="s">
        <v>136</v>
      </c>
    </row>
    <row r="191" spans="1:1" ht="144">
      <c r="A191" s="1" t="s">
        <v>137</v>
      </c>
    </row>
    <row r="193" spans="1:1" ht="72">
      <c r="A193" s="1" t="s">
        <v>138</v>
      </c>
    </row>
    <row r="195" spans="1:1" ht="28.8">
      <c r="A195" s="1" t="s">
        <v>139</v>
      </c>
    </row>
    <row r="196" spans="1:1" ht="115.2">
      <c r="A196" s="1" t="s">
        <v>140</v>
      </c>
    </row>
    <row r="197" spans="1:1" ht="72">
      <c r="A197" s="1" t="s">
        <v>141</v>
      </c>
    </row>
    <row r="198" spans="1:1" ht="57.6">
      <c r="A198" s="1" t="s">
        <v>142</v>
      </c>
    </row>
    <row r="200" spans="1:1" ht="43.2">
      <c r="A200" s="1" t="s">
        <v>143</v>
      </c>
    </row>
    <row r="202" spans="1:1" ht="28.8">
      <c r="A202" s="1" t="s">
        <v>144</v>
      </c>
    </row>
    <row r="203" spans="1:1" ht="57.6">
      <c r="A203" s="1" t="s">
        <v>145</v>
      </c>
    </row>
    <row r="204" spans="1:1" ht="28.8">
      <c r="A204" s="1" t="s">
        <v>146</v>
      </c>
    </row>
    <row r="205" spans="1:1" ht="28.8">
      <c r="A205" s="1" t="s">
        <v>147</v>
      </c>
    </row>
    <row r="206" spans="1:1" ht="43.2">
      <c r="A206" s="1" t="s">
        <v>148</v>
      </c>
    </row>
    <row r="207" spans="1:1" ht="43.2">
      <c r="A207" s="1" t="s">
        <v>149</v>
      </c>
    </row>
    <row r="208" spans="1:1" ht="72">
      <c r="A208" s="1" t="s">
        <v>150</v>
      </c>
    </row>
    <row r="209" spans="1:1" ht="43.2">
      <c r="A209" s="1" t="s">
        <v>151</v>
      </c>
    </row>
    <row r="210" spans="1:1" ht="57.6">
      <c r="A210" s="1" t="s">
        <v>152</v>
      </c>
    </row>
    <row r="211" spans="1:1" ht="57.6">
      <c r="A211" s="1" t="s">
        <v>153</v>
      </c>
    </row>
    <row r="213" spans="1:1" ht="43.2">
      <c r="A213" s="1" t="s">
        <v>154</v>
      </c>
    </row>
    <row r="215" spans="1:1" ht="86.4">
      <c r="A215" s="1" t="s">
        <v>155</v>
      </c>
    </row>
    <row r="216" spans="1:1" ht="86.4">
      <c r="A216" s="1" t="s">
        <v>156</v>
      </c>
    </row>
    <row r="217" spans="1:1" ht="72">
      <c r="A217" s="1" t="s">
        <v>157</v>
      </c>
    </row>
    <row r="219" spans="1:1" ht="43.2">
      <c r="A219" s="1" t="s">
        <v>143</v>
      </c>
    </row>
    <row r="221" spans="1:1" ht="28.8">
      <c r="A221" s="1" t="s">
        <v>158</v>
      </c>
    </row>
    <row r="222" spans="1:1" ht="28.8">
      <c r="A222" s="1" t="s">
        <v>36</v>
      </c>
    </row>
    <row r="223" spans="1:1" ht="28.8">
      <c r="A223" s="1" t="s">
        <v>159</v>
      </c>
    </row>
    <row r="224" spans="1:1" ht="28.8">
      <c r="A224" s="1" t="s">
        <v>160</v>
      </c>
    </row>
    <row r="225" spans="1:1" ht="28.8">
      <c r="A225" s="1" t="s">
        <v>161</v>
      </c>
    </row>
    <row r="226" spans="1:1" ht="28.8">
      <c r="A226" s="1" t="s">
        <v>162</v>
      </c>
    </row>
    <row r="228" spans="1:1" ht="57.6">
      <c r="A228" s="1" t="s">
        <v>163</v>
      </c>
    </row>
    <row r="230" spans="1:1" ht="43.2">
      <c r="A230" s="1" t="s">
        <v>164</v>
      </c>
    </row>
    <row r="231" spans="1:1" ht="43.2">
      <c r="A231" s="1" t="s">
        <v>165</v>
      </c>
    </row>
    <row r="232" spans="1:1" ht="43.2">
      <c r="A232" s="1" t="s">
        <v>166</v>
      </c>
    </row>
    <row r="233" spans="1:1" ht="43.2">
      <c r="A233" s="1" t="s">
        <v>167</v>
      </c>
    </row>
    <row r="234" spans="1:1" ht="43.2">
      <c r="A234" s="1" t="s">
        <v>168</v>
      </c>
    </row>
    <row r="235" spans="1:1" ht="28.8">
      <c r="A235" s="1" t="s">
        <v>169</v>
      </c>
    </row>
    <row r="237" spans="1:1" ht="57.6">
      <c r="A237" s="1" t="s">
        <v>170</v>
      </c>
    </row>
    <row r="239" spans="1:1" ht="72">
      <c r="A239" s="1" t="s">
        <v>171</v>
      </c>
    </row>
    <row r="240" spans="1:1" ht="72">
      <c r="A240" s="1" t="s">
        <v>172</v>
      </c>
    </row>
    <row r="241" spans="1:1" ht="57.6">
      <c r="A241" s="1" t="s">
        <v>173</v>
      </c>
    </row>
    <row r="243" spans="1:1" ht="57.6">
      <c r="A243" s="1" t="s">
        <v>174</v>
      </c>
    </row>
    <row r="245" spans="1:1" ht="72">
      <c r="A245" s="1" t="s">
        <v>175</v>
      </c>
    </row>
    <row r="246" spans="1:1" ht="72">
      <c r="A246" s="1" t="s">
        <v>176</v>
      </c>
    </row>
    <row r="247" spans="1:1" ht="57.6">
      <c r="A247" s="1" t="s">
        <v>177</v>
      </c>
    </row>
    <row r="249" spans="1:1" ht="57.6">
      <c r="A249" s="1" t="s">
        <v>178</v>
      </c>
    </row>
    <row r="251" spans="1:1" ht="72">
      <c r="A251" s="1" t="s">
        <v>179</v>
      </c>
    </row>
    <row r="252" spans="1:1" ht="72">
      <c r="A252" s="1" t="s">
        <v>180</v>
      </c>
    </row>
    <row r="253" spans="1:1" ht="57.6">
      <c r="A253" s="1" t="s">
        <v>181</v>
      </c>
    </row>
    <row r="255" spans="1:1" ht="72">
      <c r="A255" s="1" t="s">
        <v>182</v>
      </c>
    </row>
    <row r="257" spans="1:1" ht="86.4">
      <c r="A257" s="1" t="s">
        <v>183</v>
      </c>
    </row>
    <row r="258" spans="1:1" ht="86.4">
      <c r="A258" s="1" t="s">
        <v>184</v>
      </c>
    </row>
    <row r="259" spans="1:1" ht="72">
      <c r="A259" s="1" t="s">
        <v>185</v>
      </c>
    </row>
    <row r="261" spans="1:1" ht="43.2">
      <c r="A261" s="1" t="s">
        <v>186</v>
      </c>
    </row>
    <row r="263" spans="1:1" ht="72">
      <c r="A263" s="1" t="s">
        <v>187</v>
      </c>
    </row>
    <row r="264" spans="1:1" ht="57.6">
      <c r="A264" s="1" t="s">
        <v>188</v>
      </c>
    </row>
    <row r="265" spans="1:1" ht="28.8">
      <c r="A265" s="1" t="s">
        <v>189</v>
      </c>
    </row>
    <row r="266" spans="1:1" ht="28.8">
      <c r="A266" s="1" t="s">
        <v>190</v>
      </c>
    </row>
    <row r="267" spans="1:1" ht="43.2">
      <c r="A267" s="1" t="s">
        <v>191</v>
      </c>
    </row>
    <row r="269" spans="1:1" ht="86.4">
      <c r="A269" s="1" t="s">
        <v>192</v>
      </c>
    </row>
    <row r="271" spans="1:1" ht="100.8">
      <c r="A271" s="1" t="s">
        <v>193</v>
      </c>
    </row>
    <row r="272" spans="1:1" ht="72">
      <c r="A272" s="1" t="s">
        <v>194</v>
      </c>
    </row>
    <row r="274" spans="1:1" ht="57.6">
      <c r="A274" s="1" t="s">
        <v>195</v>
      </c>
    </row>
    <row r="276" spans="1:1" ht="57.6">
      <c r="A276" s="1" t="s">
        <v>196</v>
      </c>
    </row>
    <row r="277" spans="1:1" ht="43.2">
      <c r="A277" s="1" t="s">
        <v>197</v>
      </c>
    </row>
    <row r="279" spans="1:1" ht="57.6">
      <c r="A279" s="1" t="s">
        <v>198</v>
      </c>
    </row>
    <row r="281" spans="1:1" ht="57.6">
      <c r="A281" s="1" t="s">
        <v>199</v>
      </c>
    </row>
    <row r="282" spans="1:1" ht="43.2">
      <c r="A282" s="1" t="s">
        <v>200</v>
      </c>
    </row>
    <row r="284" spans="1:1" ht="57.6">
      <c r="A284" s="1" t="s">
        <v>201</v>
      </c>
    </row>
    <row r="286" spans="1:1" ht="72">
      <c r="A286" s="1" t="s">
        <v>202</v>
      </c>
    </row>
    <row r="287" spans="1:1" ht="57.6">
      <c r="A287" s="1" t="s">
        <v>203</v>
      </c>
    </row>
    <row r="289" spans="1:1" ht="86.4">
      <c r="A289" s="1" t="s">
        <v>204</v>
      </c>
    </row>
    <row r="291" spans="1:1" ht="57.6">
      <c r="A291" s="1" t="s">
        <v>205</v>
      </c>
    </row>
    <row r="292" spans="1:1" ht="43.2">
      <c r="A292" s="1" t="s">
        <v>206</v>
      </c>
    </row>
    <row r="294" spans="1:1" ht="72">
      <c r="A294" s="1" t="s">
        <v>207</v>
      </c>
    </row>
    <row r="296" spans="1:1" ht="57.6">
      <c r="A296" s="1" t="s">
        <v>208</v>
      </c>
    </row>
    <row r="297" spans="1:1" ht="43.2">
      <c r="A297" s="1" t="s">
        <v>209</v>
      </c>
    </row>
    <row r="298" spans="1:1">
      <c r="A298" s="1" t="s">
        <v>26</v>
      </c>
    </row>
    <row r="300" spans="1:1" ht="43.2">
      <c r="A300" s="1" t="s">
        <v>210</v>
      </c>
    </row>
    <row r="302" spans="1:1" ht="57.6">
      <c r="A302" s="1" t="s">
        <v>211</v>
      </c>
    </row>
    <row r="304" spans="1:1" ht="57.6">
      <c r="A304" s="1" t="s">
        <v>212</v>
      </c>
    </row>
    <row r="306" spans="1:1" ht="43.2">
      <c r="A306" s="1" t="s">
        <v>213</v>
      </c>
    </row>
    <row r="308" spans="1:1">
      <c r="A308" s="1" t="s">
        <v>26</v>
      </c>
    </row>
    <row r="311" spans="1:1" ht="216">
      <c r="A311" s="1" t="s">
        <v>214</v>
      </c>
    </row>
  </sheetData>
  <pageMargins left="1" right="1" top="1" bottom="1" header="0.5" footer="0.5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F1B49-F751-4EAD-B4EA-397B4F5FD1EB}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entry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2026-04-22T07:40:04Z</dcterms:modified>
</cp:coreProperties>
</file>